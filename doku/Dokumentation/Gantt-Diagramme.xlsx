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4235"/>
  </bookViews>
  <sheets>
    <sheet name="Blat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  <c r="E25" i="2"/>
  <c r="E26" i="2"/>
  <c r="E27" i="2"/>
  <c r="E28" i="2"/>
  <c r="E29" i="2"/>
  <c r="E30" i="2"/>
  <c r="V33" i="2"/>
  <c r="T15" i="2"/>
  <c r="E33" i="2" l="1"/>
  <c r="E15" i="2" l="1"/>
</calcChain>
</file>

<file path=xl/sharedStrings.xml><?xml version="1.0" encoding="utf-8"?>
<sst xmlns="http://schemas.openxmlformats.org/spreadsheetml/2006/main" count="34" uniqueCount="18">
  <si>
    <t>Enddatum</t>
  </si>
  <si>
    <t>Startdatum</t>
  </si>
  <si>
    <t>Projekt-Feueralarm</t>
  </si>
  <si>
    <t>Beschreibung</t>
  </si>
  <si>
    <t>Ist-Analyse</t>
  </si>
  <si>
    <t>Analyse der Anforderungen</t>
  </si>
  <si>
    <t>Konzept API-Anfrage Web-Untis</t>
  </si>
  <si>
    <t>Konzept Frontend Design</t>
  </si>
  <si>
    <t>Backend Programmierung</t>
  </si>
  <si>
    <t>Frontend Programmierung</t>
  </si>
  <si>
    <t>Dokumentation</t>
  </si>
  <si>
    <t>Präsentation</t>
  </si>
  <si>
    <t>Übergabe</t>
  </si>
  <si>
    <t>Geplante Zeit (Tage)</t>
  </si>
  <si>
    <t>Testphase und Bugfixing</t>
  </si>
  <si>
    <t>QoL-Features Implmentierung</t>
  </si>
  <si>
    <r>
      <t xml:space="preserve">Gannt-Diagramm Projektphasen </t>
    </r>
    <r>
      <rPr>
        <sz val="22"/>
        <color rgb="FFFFC000"/>
        <rFont val="Century Gothic"/>
        <family val="2"/>
      </rPr>
      <t>(Geplant)</t>
    </r>
  </si>
  <si>
    <r>
      <t xml:space="preserve">Gannt-Diagramm Projektphasen </t>
    </r>
    <r>
      <rPr>
        <sz val="22"/>
        <color theme="4" tint="0.39997558519241921"/>
        <rFont val="Century Gothic"/>
        <family val="2"/>
      </rPr>
      <t>(Ist)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</si>
</sst>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d/mm/yyyy;@"/>
    <numFmt numFmtId="17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sz val="10"/>
      <color rgb="FF000000"/>
      <name val="Century Gothic"/>
      <family val="2"/>
    </font>
    <font>
      <sz val="16"/>
      <color theme="0"/>
      <name val="Century Gothic"/>
      <family val="2"/>
    </font>
    <font>
      <sz val="10"/>
      <color rgb="FF777777"/>
      <name val="Century Gothic"/>
      <family val="2"/>
    </font>
    <font>
      <sz val="11"/>
      <color theme="0"/>
      <name val="Calibri"/>
      <family val="2"/>
      <scheme val="minor"/>
    </font>
    <font>
      <sz val="22"/>
      <color theme="0"/>
      <name val="Century Gothic"/>
      <family val="2"/>
    </font>
    <font>
      <sz val="10"/>
      <name val="Century Gothic"/>
      <family val="2"/>
    </font>
    <font>
      <sz val="22"/>
      <color rgb="FFFFC000"/>
      <name val="Century Gothic"/>
      <family val="2"/>
    </font>
    <font>
      <sz val="22"/>
      <color theme="4" tint="0.3999755851924192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4" borderId="0" xfId="0" applyFont="1" applyFill="1"/>
    <xf numFmtId="0" fontId="5" fillId="4" borderId="0" xfId="0" applyFont="1" applyFill="1"/>
    <xf numFmtId="0" fontId="0" fillId="4" borderId="0" xfId="0" applyFill="1"/>
    <xf numFmtId="0" fontId="6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/>
    <xf numFmtId="0" fontId="8" fillId="6" borderId="0" xfId="0" applyFont="1" applyFill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8" fillId="6" borderId="0" xfId="0" applyFont="1" applyFill="1" applyBorder="1" applyAlignment="1">
      <alignment horizontal="center" vertical="center" wrapText="1" readingOrder="1"/>
    </xf>
    <xf numFmtId="0" fontId="4" fillId="5" borderId="0" xfId="0" applyFont="1" applyFill="1" applyBorder="1" applyAlignment="1">
      <alignment horizontal="center" vertical="center" wrapText="1" readingOrder="1"/>
    </xf>
    <xf numFmtId="0" fontId="8" fillId="6" borderId="0" xfId="0" applyFont="1" applyFill="1" applyBorder="1" applyAlignment="1">
      <alignment horizontal="center" vertical="center" wrapText="1" readingOrder="1"/>
    </xf>
    <xf numFmtId="165" fontId="3" fillId="2" borderId="0" xfId="0" applyNumberFormat="1" applyFont="1" applyFill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center" vertical="center" wrapText="1" readingOrder="1"/>
    </xf>
    <xf numFmtId="165" fontId="3" fillId="3" borderId="0" xfId="0" applyNumberFormat="1" applyFont="1" applyFill="1" applyBorder="1" applyAlignment="1">
      <alignment horizontal="center" vertical="center" wrapText="1" readingOrder="1"/>
    </xf>
    <xf numFmtId="165" fontId="3" fillId="7" borderId="0" xfId="0" applyNumberFormat="1" applyFont="1" applyFill="1" applyBorder="1" applyAlignment="1">
      <alignment horizontal="center" vertical="center" wrapText="1" readingOrder="1"/>
    </xf>
    <xf numFmtId="0" fontId="3" fillId="7" borderId="0" xfId="0" applyFont="1" applyFill="1" applyBorder="1" applyAlignment="1">
      <alignment horizontal="center" vertical="center" wrapText="1" readingOrder="1"/>
    </xf>
    <xf numFmtId="0" fontId="2" fillId="7" borderId="0" xfId="0" applyFont="1" applyFill="1" applyBorder="1" applyAlignment="1">
      <alignment horizontal="center" vertical="center" wrapText="1" readingOrder="1"/>
    </xf>
    <xf numFmtId="2" fontId="3" fillId="3" borderId="0" xfId="0" applyNumberFormat="1" applyFont="1" applyFill="1" applyBorder="1" applyAlignment="1">
      <alignment horizontal="center" vertical="center" wrapText="1" readingOrder="1"/>
    </xf>
    <xf numFmtId="175" fontId="3" fillId="3" borderId="0" xfId="0" applyNumberFormat="1" applyFont="1" applyFill="1" applyBorder="1" applyAlignment="1">
      <alignment horizontal="center" vertical="center" wrapText="1" readingOrder="1"/>
    </xf>
    <xf numFmtId="1" fontId="3" fillId="3" borderId="0" xfId="0" applyNumberFormat="1" applyFont="1" applyFill="1" applyBorder="1" applyAlignment="1">
      <alignment horizontal="center" vertical="center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24626"/>
      <color rgb="FF30966D"/>
      <color rgb="FF777777"/>
      <color rgb="FFD24726"/>
      <color rgb="FFFF6600"/>
      <color rgb="FF52B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Blatt1!$B$5</c:f>
              <c:strCache>
                <c:ptCount val="1"/>
                <c:pt idx="0">
                  <c:v>Startdatum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Blatt1!$D$6:$D$15</c:f>
              <c:strCache>
                <c:ptCount val="9"/>
                <c:pt idx="0">
                  <c:v>Ist-Analyse</c:v>
                </c:pt>
                <c:pt idx="1">
                  <c:v>Analyse der Anforderungen</c:v>
                </c:pt>
                <c:pt idx="2">
                  <c:v>Konzept API-Anfrage Web-Untis</c:v>
                </c:pt>
                <c:pt idx="3">
                  <c:v>Konzept Frontend Design</c:v>
                </c:pt>
                <c:pt idx="4">
                  <c:v>Frontend Programmierung</c:v>
                </c:pt>
                <c:pt idx="5">
                  <c:v>Backend Programmierung</c:v>
                </c:pt>
                <c:pt idx="6">
                  <c:v>Dokumentation</c:v>
                </c:pt>
                <c:pt idx="7">
                  <c:v>Präsentation</c:v>
                </c:pt>
                <c:pt idx="8">
                  <c:v>Übergabe</c:v>
                </c:pt>
              </c:strCache>
            </c:strRef>
          </c:cat>
          <c:val>
            <c:numRef>
              <c:f>Blatt1!$B$6:$B$15</c:f>
              <c:numCache>
                <c:formatCode>dd/mm/yyyy;@</c:formatCode>
                <c:ptCount val="10"/>
                <c:pt idx="0">
                  <c:v>44062</c:v>
                </c:pt>
                <c:pt idx="1">
                  <c:v>44062</c:v>
                </c:pt>
                <c:pt idx="2">
                  <c:v>44069</c:v>
                </c:pt>
                <c:pt idx="3">
                  <c:v>44076</c:v>
                </c:pt>
                <c:pt idx="4">
                  <c:v>44083</c:v>
                </c:pt>
                <c:pt idx="5">
                  <c:v>44083</c:v>
                </c:pt>
                <c:pt idx="6">
                  <c:v>44132</c:v>
                </c:pt>
                <c:pt idx="7">
                  <c:v>44146</c:v>
                </c:pt>
                <c:pt idx="8">
                  <c:v>44153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9B0-4A2C-B5B8-12F45ECBD4E4}"/>
            </c:ext>
          </c:extLst>
        </c:ser>
        <c:ser>
          <c:idx val="3"/>
          <c:order val="4"/>
          <c:tx>
            <c:strRef>
              <c:f>Blatt1!$T$4:$T$5</c:f>
              <c:strCache>
                <c:ptCount val="2"/>
                <c:pt idx="0">
                  <c:v>Geplante Zeit (Tage)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Blatt1!$T$6:$T$14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49</c:v>
                </c:pt>
                <c:pt idx="5">
                  <c:v>42</c:v>
                </c:pt>
                <c:pt idx="6">
                  <c:v>14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333128"/>
        <c:axId val="3698955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Blatt1!$E$4:$E$5</c15:sqref>
                        </c15:formulaRef>
                      </c:ext>
                    </c:extLst>
                    <c:strCache>
                      <c:ptCount val="2"/>
                      <c:pt idx="0">
                        <c:v>Geplante Zeit (Tage)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7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hade val="7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shade val="7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Blatt1!$D$6:$D$15</c15:sqref>
                        </c15:formulaRef>
                      </c:ext>
                    </c:extLst>
                    <c:strCache>
                      <c:ptCount val="9"/>
                      <c:pt idx="0">
                        <c:v>Ist-Analyse</c:v>
                      </c:pt>
                      <c:pt idx="1">
                        <c:v>Analyse der Anforderungen</c:v>
                      </c:pt>
                      <c:pt idx="2">
                        <c:v>Konzept API-Anfrage Web-Untis</c:v>
                      </c:pt>
                      <c:pt idx="3">
                        <c:v>Konzept Frontend Design</c:v>
                      </c:pt>
                      <c:pt idx="4">
                        <c:v>Frontend Programmierung</c:v>
                      </c:pt>
                      <c:pt idx="5">
                        <c:v>Backend Programmierung</c:v>
                      </c:pt>
                      <c:pt idx="6">
                        <c:v>Dokumentation</c:v>
                      </c:pt>
                      <c:pt idx="7">
                        <c:v>Präsentation</c:v>
                      </c:pt>
                      <c:pt idx="8">
                        <c:v>Übergabe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Blatt1!$E$6:$E$15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0.33333333333333331</c:v>
                      </c:pt>
                      <c:pt idx="1">
                        <c:v>0.66666666666666663</c:v>
                      </c:pt>
                      <c:pt idx="2" formatCode="0">
                        <c:v>1</c:v>
                      </c:pt>
                      <c:pt idx="3" formatCode="0">
                        <c:v>1</c:v>
                      </c:pt>
                      <c:pt idx="4" formatCode="0">
                        <c:v>7</c:v>
                      </c:pt>
                      <c:pt idx="5" formatCode="0">
                        <c:v>6</c:v>
                      </c:pt>
                      <c:pt idx="6" formatCode="0">
                        <c:v>2</c:v>
                      </c:pt>
                      <c:pt idx="7" formatCode="0">
                        <c:v>1</c:v>
                      </c:pt>
                      <c:pt idx="8" formatCode="0.0">
                        <c:v>0.5</c:v>
                      </c:pt>
                      <c:pt idx="9" formatCode="General">
                        <c:v>19.5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69B0-4A2C-B5B8-12F45ECBD4E4}"/>
                  </c:ext>
                </c:extLst>
              </c15:ser>
            </c15:filteredBarSeries>
            <c15:filteredBarSeries>
              <c15:ser>
                <c:idx val="4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Blatt1!$B$5</c15:sqref>
                        </c15:formulaRef>
                      </c:ext>
                    </c:extLst>
                    <c:strCache>
                      <c:ptCount val="1"/>
                      <c:pt idx="0">
                        <c:v>Startdatum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tint val="54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tint val="54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tint val="54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Blatt1!$B$6:$B$14</c15:sqref>
                        </c15:formulaRef>
                      </c:ext>
                    </c:extLst>
                    <c:numCache>
                      <c:formatCode>dd/mm/yyyy;@</c:formatCode>
                      <c:ptCount val="9"/>
                      <c:pt idx="0">
                        <c:v>44062</c:v>
                      </c:pt>
                      <c:pt idx="1">
                        <c:v>44062</c:v>
                      </c:pt>
                      <c:pt idx="2">
                        <c:v>44069</c:v>
                      </c:pt>
                      <c:pt idx="3">
                        <c:v>44076</c:v>
                      </c:pt>
                      <c:pt idx="4">
                        <c:v>44083</c:v>
                      </c:pt>
                      <c:pt idx="5">
                        <c:v>44083</c:v>
                      </c:pt>
                      <c:pt idx="6">
                        <c:v>44132</c:v>
                      </c:pt>
                      <c:pt idx="7">
                        <c:v>44146</c:v>
                      </c:pt>
                      <c:pt idx="8">
                        <c:v>44153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3"/>
                <c:tx>
                  <c:v>Enddatum</c:v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Blatt1!$C$6:$C$14</c15:sqref>
                        </c15:formulaRef>
                      </c:ext>
                    </c:extLst>
                    <c:numCache>
                      <c:formatCode>dd/mm/yyyy;@</c:formatCode>
                      <c:ptCount val="9"/>
                      <c:pt idx="0">
                        <c:v>44069</c:v>
                      </c:pt>
                      <c:pt idx="1">
                        <c:v>44069</c:v>
                      </c:pt>
                      <c:pt idx="2">
                        <c:v>44076</c:v>
                      </c:pt>
                      <c:pt idx="3">
                        <c:v>44083</c:v>
                      </c:pt>
                      <c:pt idx="4">
                        <c:v>44132</c:v>
                      </c:pt>
                      <c:pt idx="5">
                        <c:v>44125</c:v>
                      </c:pt>
                      <c:pt idx="6">
                        <c:v>44146</c:v>
                      </c:pt>
                      <c:pt idx="7">
                        <c:v>44153</c:v>
                      </c:pt>
                      <c:pt idx="8">
                        <c:v>44160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68333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9895560"/>
        <c:crosses val="autoZero"/>
        <c:auto val="1"/>
        <c:lblAlgn val="ctr"/>
        <c:lblOffset val="100"/>
        <c:noMultiLvlLbl val="0"/>
      </c:catAx>
      <c:valAx>
        <c:axId val="369895560"/>
        <c:scaling>
          <c:orientation val="minMax"/>
          <c:max val="44174"/>
          <c:min val="4406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833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02687450784002"/>
          <c:y val="6.1978821199500919E-2"/>
          <c:w val="0.79571883822429801"/>
          <c:h val="0.9086324743711353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Blatt1!$B$21</c:f>
              <c:strCache>
                <c:ptCount val="1"/>
                <c:pt idx="0">
                  <c:v>Startdatum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Blatt1!$D$22:$D$32</c:f>
              <c:strCache>
                <c:ptCount val="11"/>
                <c:pt idx="0">
                  <c:v>Ist-Analyse</c:v>
                </c:pt>
                <c:pt idx="1">
                  <c:v>Analyse der Anforderungen</c:v>
                </c:pt>
                <c:pt idx="2">
                  <c:v>Konzept API-Anfrage Web-Untis</c:v>
                </c:pt>
                <c:pt idx="3">
                  <c:v>Konzept Frontend Design</c:v>
                </c:pt>
                <c:pt idx="4">
                  <c:v>Frontend Programmierung</c:v>
                </c:pt>
                <c:pt idx="5">
                  <c:v>Backend Programmierung</c:v>
                </c:pt>
                <c:pt idx="6">
                  <c:v>Testphase und Bugfixing</c:v>
                </c:pt>
                <c:pt idx="7">
                  <c:v>QoL-Features Implmentierung</c:v>
                </c:pt>
                <c:pt idx="8">
                  <c:v>Dokumentation</c:v>
                </c:pt>
                <c:pt idx="9">
                  <c:v>Präsentation</c:v>
                </c:pt>
                <c:pt idx="10">
                  <c:v>Übergabe</c:v>
                </c:pt>
              </c:strCache>
            </c:strRef>
          </c:cat>
          <c:val>
            <c:numRef>
              <c:f>Blatt1!$B$22:$B$32</c:f>
              <c:numCache>
                <c:formatCode>dd/mm/yyyy;@</c:formatCode>
                <c:ptCount val="11"/>
                <c:pt idx="0">
                  <c:v>44062</c:v>
                </c:pt>
                <c:pt idx="1">
                  <c:v>44062</c:v>
                </c:pt>
                <c:pt idx="2">
                  <c:v>44069</c:v>
                </c:pt>
                <c:pt idx="3">
                  <c:v>44076</c:v>
                </c:pt>
                <c:pt idx="4">
                  <c:v>44083</c:v>
                </c:pt>
                <c:pt idx="5">
                  <c:v>44083</c:v>
                </c:pt>
                <c:pt idx="6">
                  <c:v>44125</c:v>
                </c:pt>
                <c:pt idx="7">
                  <c:v>44146</c:v>
                </c:pt>
                <c:pt idx="8">
                  <c:v>44160</c:v>
                </c:pt>
                <c:pt idx="9">
                  <c:v>44174</c:v>
                </c:pt>
                <c:pt idx="10">
                  <c:v>44174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9B0-4A2C-B5B8-12F45ECBD4E4}"/>
            </c:ext>
          </c:extLst>
        </c:ser>
        <c:ser>
          <c:idx val="3"/>
          <c:order val="1"/>
          <c:tx>
            <c:strRef>
              <c:f>Blatt1!$V$20</c:f>
              <c:strCache>
                <c:ptCount val="1"/>
                <c:pt idx="0">
                  <c:v>Geplante Zeit (Tage)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Blatt1!$D$22:$D$32</c:f>
              <c:strCache>
                <c:ptCount val="11"/>
                <c:pt idx="0">
                  <c:v>Ist-Analyse</c:v>
                </c:pt>
                <c:pt idx="1">
                  <c:v>Analyse der Anforderungen</c:v>
                </c:pt>
                <c:pt idx="2">
                  <c:v>Konzept API-Anfrage Web-Untis</c:v>
                </c:pt>
                <c:pt idx="3">
                  <c:v>Konzept Frontend Design</c:v>
                </c:pt>
                <c:pt idx="4">
                  <c:v>Frontend Programmierung</c:v>
                </c:pt>
                <c:pt idx="5">
                  <c:v>Backend Programmierung</c:v>
                </c:pt>
                <c:pt idx="6">
                  <c:v>Testphase und Bugfixing</c:v>
                </c:pt>
                <c:pt idx="7">
                  <c:v>QoL-Features Implmentierung</c:v>
                </c:pt>
                <c:pt idx="8">
                  <c:v>Dokumentation</c:v>
                </c:pt>
                <c:pt idx="9">
                  <c:v>Präsentation</c:v>
                </c:pt>
                <c:pt idx="10">
                  <c:v>Übergabe</c:v>
                </c:pt>
              </c:strCache>
            </c:strRef>
          </c:cat>
          <c:val>
            <c:numRef>
              <c:f>Blatt1!$V$22:$V$32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56</c:v>
                </c:pt>
                <c:pt idx="5">
                  <c:v>42</c:v>
                </c:pt>
                <c:pt idx="6">
                  <c:v>28</c:v>
                </c:pt>
                <c:pt idx="7">
                  <c:v>14</c:v>
                </c:pt>
                <c:pt idx="8">
                  <c:v>14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6464144"/>
        <c:axId val="516463360"/>
        <c:extLst/>
      </c:barChart>
      <c:catAx>
        <c:axId val="516464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6463360"/>
        <c:crosses val="autoZero"/>
        <c:auto val="1"/>
        <c:lblAlgn val="ctr"/>
        <c:lblOffset val="100"/>
        <c:noMultiLvlLbl val="0"/>
      </c:catAx>
      <c:valAx>
        <c:axId val="516463360"/>
        <c:scaling>
          <c:orientation val="minMax"/>
          <c:max val="44189"/>
          <c:min val="4406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646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945842</xdr:colOff>
      <xdr:row>2</xdr:row>
      <xdr:rowOff>98494</xdr:rowOff>
    </xdr:from>
    <xdr:to>
      <xdr:col>18</xdr:col>
      <xdr:colOff>20053</xdr:colOff>
      <xdr:row>14</xdr:row>
      <xdr:rowOff>336177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941293</xdr:colOff>
      <xdr:row>19</xdr:row>
      <xdr:rowOff>3244</xdr:rowOff>
    </xdr:from>
    <xdr:to>
      <xdr:col>18</xdr:col>
      <xdr:colOff>257734</xdr:colOff>
      <xdr:row>33</xdr:row>
      <xdr:rowOff>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D93"/>
  <sheetViews>
    <sheetView tabSelected="1" zoomScale="85" zoomScaleNormal="85" workbookViewId="0">
      <selection activeCell="AA7" sqref="AA7"/>
    </sheetView>
  </sheetViews>
  <sheetFormatPr baseColWidth="10" defaultColWidth="10.140625" defaultRowHeight="15" x14ac:dyDescent="0.25"/>
  <cols>
    <col min="1" max="1" width="4" style="4" customWidth="1"/>
    <col min="2" max="2" width="12" style="4" customWidth="1"/>
    <col min="3" max="3" width="11.5703125" style="4" customWidth="1"/>
    <col min="4" max="4" width="24.42578125" style="4" customWidth="1"/>
    <col min="5" max="5" width="14.28515625" style="4" customWidth="1"/>
    <col min="6" max="6" width="10.140625" style="4"/>
    <col min="7" max="7" width="16.85546875" style="4" customWidth="1"/>
    <col min="8" max="8" width="32.42578125" style="4" customWidth="1"/>
    <col min="9" max="9" width="3.42578125" style="4" customWidth="1"/>
    <col min="10" max="10" width="9.7109375" style="4" customWidth="1"/>
    <col min="11" max="16" width="10.140625" style="4"/>
    <col min="17" max="17" width="13.140625" style="4" customWidth="1"/>
    <col min="18" max="18" width="8" style="4" customWidth="1"/>
    <col min="19" max="16384" width="10.140625" style="4"/>
  </cols>
  <sheetData>
    <row r="1" spans="1:30" s="2" customFormat="1" ht="9.75" customHeight="1" x14ac:dyDescent="0.25"/>
    <row r="2" spans="1:30" s="2" customFormat="1" ht="27" customHeight="1" x14ac:dyDescent="0.4">
      <c r="B2" s="7" t="s">
        <v>16</v>
      </c>
    </row>
    <row r="3" spans="1:30" ht="8.25" customHeight="1" x14ac:dyDescent="0.25"/>
    <row r="4" spans="1:30" ht="27" customHeight="1" x14ac:dyDescent="0.25">
      <c r="B4" s="11" t="s">
        <v>2</v>
      </c>
      <c r="C4" s="11"/>
      <c r="D4" s="11"/>
      <c r="E4" s="12" t="s">
        <v>13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 s="12" t="s">
        <v>13</v>
      </c>
    </row>
    <row r="5" spans="1:30" s="5" customFormat="1" ht="27.75" customHeight="1" x14ac:dyDescent="0.25">
      <c r="B5" s="8" t="s">
        <v>1</v>
      </c>
      <c r="C5" s="8" t="s">
        <v>0</v>
      </c>
      <c r="D5" s="8" t="s">
        <v>3</v>
      </c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T5" s="12"/>
    </row>
    <row r="6" spans="1:30" ht="22.5" customHeight="1" x14ac:dyDescent="0.25">
      <c r="B6" s="13">
        <v>44062</v>
      </c>
      <c r="C6" s="13">
        <v>44069</v>
      </c>
      <c r="D6" s="14" t="s">
        <v>4</v>
      </c>
      <c r="E6" s="19">
        <v>0.33333333333333331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T6" s="9">
        <v>7</v>
      </c>
    </row>
    <row r="7" spans="1:30" ht="27" x14ac:dyDescent="0.25">
      <c r="B7" s="15">
        <v>44062</v>
      </c>
      <c r="C7" s="15">
        <v>44069</v>
      </c>
      <c r="D7" s="9" t="s">
        <v>5</v>
      </c>
      <c r="E7" s="19">
        <v>0.66666666666666663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T7" s="9">
        <v>7</v>
      </c>
    </row>
    <row r="8" spans="1:30" ht="27" x14ac:dyDescent="0.25">
      <c r="B8" s="13">
        <v>44069</v>
      </c>
      <c r="C8" s="13">
        <v>44076</v>
      </c>
      <c r="D8" s="14" t="s">
        <v>6</v>
      </c>
      <c r="E8" s="21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9">
        <v>7</v>
      </c>
    </row>
    <row r="9" spans="1:30" ht="27" customHeight="1" x14ac:dyDescent="0.25">
      <c r="B9" s="15">
        <v>44076</v>
      </c>
      <c r="C9" s="15">
        <v>44083</v>
      </c>
      <c r="D9" s="9" t="s">
        <v>7</v>
      </c>
      <c r="E9" s="21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T9" s="9">
        <v>7</v>
      </c>
    </row>
    <row r="10" spans="1:30" ht="27" x14ac:dyDescent="0.25">
      <c r="B10" s="13">
        <v>44083</v>
      </c>
      <c r="C10" s="13">
        <v>44132</v>
      </c>
      <c r="D10" s="14" t="s">
        <v>9</v>
      </c>
      <c r="E10" s="21">
        <v>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9">
        <v>49</v>
      </c>
    </row>
    <row r="11" spans="1:30" ht="27" x14ac:dyDescent="0.25">
      <c r="B11" s="15">
        <v>44083</v>
      </c>
      <c r="C11" s="15">
        <v>44125</v>
      </c>
      <c r="D11" s="9" t="s">
        <v>8</v>
      </c>
      <c r="E11" s="21">
        <v>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9">
        <v>42</v>
      </c>
    </row>
    <row r="12" spans="1:30" ht="27" customHeight="1" x14ac:dyDescent="0.25">
      <c r="B12" s="13">
        <v>44132</v>
      </c>
      <c r="C12" s="13">
        <v>44146</v>
      </c>
      <c r="D12" s="14" t="s">
        <v>10</v>
      </c>
      <c r="E12" s="21">
        <v>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T12" s="9">
        <v>14</v>
      </c>
    </row>
    <row r="13" spans="1:30" ht="27" customHeight="1" x14ac:dyDescent="0.25">
      <c r="B13" s="15">
        <v>44146</v>
      </c>
      <c r="C13" s="15">
        <v>44153</v>
      </c>
      <c r="D13" s="9" t="s">
        <v>11</v>
      </c>
      <c r="E13" s="2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T13" s="9">
        <v>7</v>
      </c>
    </row>
    <row r="14" spans="1:30" ht="27" customHeight="1" x14ac:dyDescent="0.25">
      <c r="B14" s="13">
        <v>44153</v>
      </c>
      <c r="C14" s="13">
        <v>44160</v>
      </c>
      <c r="D14" s="14" t="s">
        <v>12</v>
      </c>
      <c r="E14" s="20">
        <v>0.5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T14" s="9">
        <v>7</v>
      </c>
    </row>
    <row r="15" spans="1:30" ht="27" customHeight="1" x14ac:dyDescent="0.25">
      <c r="B15" s="16"/>
      <c r="C15" s="16"/>
      <c r="D15" s="17"/>
      <c r="E15" s="18">
        <f>SUM(E6:E14)</f>
        <v>19.5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T15" s="18">
        <f>SUM(T6:T14)</f>
        <v>147</v>
      </c>
    </row>
    <row r="16" spans="1: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3" customFormat="1" ht="13.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3" customFormat="1" ht="28.5" x14ac:dyDescent="0.4">
      <c r="A18" s="5"/>
      <c r="B18" s="7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7.5" customHeight="1" x14ac:dyDescent="0.25">
      <c r="A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27.75" customHeight="1" x14ac:dyDescent="0.25">
      <c r="A20" s="5"/>
      <c r="B20" s="11" t="s">
        <v>2</v>
      </c>
      <c r="C20" s="11"/>
      <c r="D20" s="11"/>
      <c r="E20" s="12" t="s">
        <v>13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U20" s="5"/>
      <c r="V20" s="12" t="s">
        <v>13</v>
      </c>
      <c r="W20" s="5"/>
      <c r="X20" s="5"/>
      <c r="Y20" s="5"/>
      <c r="Z20" s="5"/>
      <c r="AA20" s="5"/>
      <c r="AB20" s="5"/>
      <c r="AC20" s="5"/>
      <c r="AD20" s="5"/>
    </row>
    <row r="21" spans="1:30" ht="27" customHeight="1" x14ac:dyDescent="0.25">
      <c r="A21" s="5"/>
      <c r="B21" s="10" t="s">
        <v>1</v>
      </c>
      <c r="C21" s="10" t="s">
        <v>0</v>
      </c>
      <c r="D21" s="10" t="s">
        <v>3</v>
      </c>
      <c r="E21" s="1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  <c r="U21" s="5"/>
      <c r="V21" s="12"/>
      <c r="W21" s="5"/>
      <c r="X21" s="5"/>
      <c r="Y21" s="5"/>
      <c r="Z21" s="5"/>
      <c r="AA21" s="5"/>
      <c r="AB21" s="5"/>
      <c r="AC21" s="5"/>
      <c r="AD21" s="5"/>
    </row>
    <row r="22" spans="1:30" ht="27" customHeight="1" x14ac:dyDescent="0.25">
      <c r="A22" s="5"/>
      <c r="B22" s="13">
        <v>44062</v>
      </c>
      <c r="C22" s="13">
        <v>44069</v>
      </c>
      <c r="D22" s="14" t="s">
        <v>4</v>
      </c>
      <c r="E22" s="19">
        <v>0.33333333333333331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U22" s="5"/>
      <c r="V22" s="9">
        <v>7</v>
      </c>
      <c r="W22" s="5"/>
      <c r="X22" s="5"/>
      <c r="Y22" s="5"/>
      <c r="Z22" s="5"/>
      <c r="AA22" s="5"/>
      <c r="AB22" s="5"/>
      <c r="AC22" s="5"/>
      <c r="AD22" s="5"/>
    </row>
    <row r="23" spans="1:30" ht="27" x14ac:dyDescent="0.25">
      <c r="A23" s="5"/>
      <c r="B23" s="15">
        <v>44062</v>
      </c>
      <c r="C23" s="15">
        <v>44069</v>
      </c>
      <c r="D23" s="9" t="s">
        <v>5</v>
      </c>
      <c r="E23" s="19">
        <v>0.66666666666666663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U23" s="5"/>
      <c r="V23" s="9">
        <v>7</v>
      </c>
      <c r="W23" s="5"/>
      <c r="X23" s="5"/>
      <c r="Y23" s="5"/>
      <c r="Z23" s="5"/>
      <c r="AA23" s="5"/>
      <c r="AB23" s="5"/>
      <c r="AC23" s="5"/>
      <c r="AD23" s="5"/>
    </row>
    <row r="24" spans="1:30" ht="27" customHeight="1" x14ac:dyDescent="0.25">
      <c r="A24" s="5"/>
      <c r="B24" s="13">
        <v>44069</v>
      </c>
      <c r="C24" s="13">
        <v>44076</v>
      </c>
      <c r="D24" s="14" t="s">
        <v>6</v>
      </c>
      <c r="E24" s="9">
        <f>V24/7</f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U24" s="5"/>
      <c r="V24" s="9">
        <v>7</v>
      </c>
      <c r="W24" s="5"/>
      <c r="X24" s="5"/>
      <c r="Y24" s="5"/>
      <c r="Z24" s="5"/>
      <c r="AA24" s="5"/>
      <c r="AB24" s="5"/>
      <c r="AC24" s="5"/>
      <c r="AD24" s="5"/>
    </row>
    <row r="25" spans="1:30" ht="27" customHeight="1" x14ac:dyDescent="0.25">
      <c r="A25" s="5"/>
      <c r="B25" s="15">
        <v>44076</v>
      </c>
      <c r="C25" s="15">
        <v>44083</v>
      </c>
      <c r="D25" s="9" t="s">
        <v>7</v>
      </c>
      <c r="E25" s="9">
        <f>V25/7</f>
        <v>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U25" s="5"/>
      <c r="V25" s="9">
        <v>7</v>
      </c>
      <c r="W25" s="5"/>
      <c r="X25" s="5"/>
      <c r="Y25" s="5"/>
      <c r="Z25" s="5"/>
      <c r="AA25" s="5"/>
      <c r="AB25" s="5"/>
      <c r="AC25" s="5"/>
      <c r="AD25" s="5"/>
    </row>
    <row r="26" spans="1:30" ht="27" x14ac:dyDescent="0.25">
      <c r="A26" s="5"/>
      <c r="B26" s="13">
        <v>44083</v>
      </c>
      <c r="C26" s="13">
        <v>44139</v>
      </c>
      <c r="D26" s="14" t="s">
        <v>9</v>
      </c>
      <c r="E26" s="9">
        <f>V26/7</f>
        <v>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U26" s="5"/>
      <c r="V26" s="9">
        <v>56</v>
      </c>
      <c r="W26" s="5"/>
      <c r="X26" s="5"/>
      <c r="Y26" s="5"/>
      <c r="Z26" s="5"/>
      <c r="AA26" s="5"/>
      <c r="AB26" s="5"/>
      <c r="AC26" s="5"/>
      <c r="AD26" s="5"/>
    </row>
    <row r="27" spans="1:30" ht="27" x14ac:dyDescent="0.25">
      <c r="A27" s="5"/>
      <c r="B27" s="15">
        <v>44083</v>
      </c>
      <c r="C27" s="15">
        <v>44125</v>
      </c>
      <c r="D27" s="9" t="s">
        <v>8</v>
      </c>
      <c r="E27" s="9">
        <f>V27/7</f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U27" s="5"/>
      <c r="V27" s="9">
        <v>42</v>
      </c>
      <c r="W27" s="5"/>
      <c r="X27" s="5"/>
      <c r="Y27" s="5"/>
      <c r="Z27" s="5"/>
      <c r="AA27" s="5"/>
      <c r="AB27" s="5"/>
      <c r="AC27" s="5"/>
      <c r="AD27" s="5"/>
    </row>
    <row r="28" spans="1:30" ht="27" customHeight="1" x14ac:dyDescent="0.25">
      <c r="A28" s="5"/>
      <c r="B28" s="13">
        <v>44125</v>
      </c>
      <c r="C28" s="13">
        <v>44146</v>
      </c>
      <c r="D28" s="14" t="s">
        <v>14</v>
      </c>
      <c r="E28" s="9">
        <f>V28/7</f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U28" s="5"/>
      <c r="V28" s="9">
        <v>28</v>
      </c>
      <c r="W28" s="5"/>
      <c r="X28" s="5"/>
      <c r="Y28" s="5"/>
      <c r="Z28" s="5"/>
      <c r="AA28" s="5"/>
      <c r="AB28" s="5"/>
      <c r="AC28" s="5"/>
      <c r="AD28" s="5"/>
    </row>
    <row r="29" spans="1:30" ht="27" x14ac:dyDescent="0.25">
      <c r="A29" s="5"/>
      <c r="B29" s="15">
        <v>44146</v>
      </c>
      <c r="C29" s="15">
        <v>44160</v>
      </c>
      <c r="D29" s="9" t="s">
        <v>15</v>
      </c>
      <c r="E29" s="9">
        <f>V29/7</f>
        <v>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U29" s="5"/>
      <c r="V29" s="9">
        <v>14</v>
      </c>
      <c r="W29" s="5"/>
      <c r="X29" s="5"/>
      <c r="Y29" s="5"/>
      <c r="Z29" s="5"/>
      <c r="AA29" s="5"/>
      <c r="AB29" s="5"/>
      <c r="AC29" s="5"/>
      <c r="AD29" s="5"/>
    </row>
    <row r="30" spans="1:30" ht="27" customHeight="1" x14ac:dyDescent="0.25">
      <c r="A30" s="5"/>
      <c r="B30" s="13">
        <v>44160</v>
      </c>
      <c r="C30" s="13">
        <v>44174</v>
      </c>
      <c r="D30" s="14" t="s">
        <v>10</v>
      </c>
      <c r="E30" s="9">
        <f>V30/7</f>
        <v>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U30" s="5"/>
      <c r="V30" s="9">
        <v>14</v>
      </c>
      <c r="W30" s="5"/>
      <c r="X30" s="5"/>
      <c r="Y30" s="5"/>
      <c r="Z30" s="5"/>
      <c r="AA30" s="5"/>
      <c r="AB30" s="5"/>
      <c r="AC30" s="5"/>
      <c r="AD30" s="5"/>
    </row>
    <row r="31" spans="1:30" ht="27" customHeight="1" x14ac:dyDescent="0.25">
      <c r="A31" s="5"/>
      <c r="B31" s="15">
        <v>44174</v>
      </c>
      <c r="C31" s="15">
        <v>44181</v>
      </c>
      <c r="D31" s="9" t="s">
        <v>11</v>
      </c>
      <c r="E31" s="9">
        <v>0.67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U31" s="5"/>
      <c r="V31" s="9">
        <v>7</v>
      </c>
      <c r="W31" s="5"/>
      <c r="X31" s="5"/>
      <c r="Y31" s="5"/>
      <c r="Z31" s="5"/>
      <c r="AA31" s="5"/>
      <c r="AB31" s="5"/>
      <c r="AC31" s="5"/>
      <c r="AD31" s="5"/>
    </row>
    <row r="32" spans="1:30" ht="27" customHeight="1" x14ac:dyDescent="0.25">
      <c r="A32" s="5"/>
      <c r="B32" s="13">
        <v>44174</v>
      </c>
      <c r="C32" s="13">
        <v>44181</v>
      </c>
      <c r="D32" s="14" t="s">
        <v>12</v>
      </c>
      <c r="E32" s="9">
        <v>0.33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U32" s="5"/>
      <c r="V32" s="9">
        <v>7</v>
      </c>
      <c r="W32" s="5"/>
      <c r="X32" s="5"/>
      <c r="Y32" s="5"/>
      <c r="Z32" s="5"/>
      <c r="AA32" s="5"/>
      <c r="AB32" s="5"/>
      <c r="AC32" s="5"/>
      <c r="AD32" s="5"/>
    </row>
    <row r="33" spans="1:30" ht="27.75" customHeight="1" x14ac:dyDescent="0.25">
      <c r="A33" s="5"/>
      <c r="B33" s="18"/>
      <c r="C33" s="18"/>
      <c r="D33" s="18"/>
      <c r="E33" s="18">
        <f>SUM(E22:E32)</f>
        <v>26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U33" s="5"/>
      <c r="V33" s="18">
        <f>SUM(V22:V32)</f>
        <v>196</v>
      </c>
      <c r="W33" s="5"/>
      <c r="X33" s="5"/>
      <c r="Y33" s="5"/>
      <c r="Z33" s="5"/>
      <c r="AA33" s="5"/>
      <c r="AB33" s="5"/>
      <c r="AC33" s="5"/>
      <c r="AD33" s="5"/>
    </row>
    <row r="34" spans="1:3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0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</sheetData>
  <mergeCells count="6">
    <mergeCell ref="T4:T5"/>
    <mergeCell ref="B20:D20"/>
    <mergeCell ref="E20:E21"/>
    <mergeCell ref="V20:V21"/>
    <mergeCell ref="B4:D4"/>
    <mergeCell ref="E4:E5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2014-09-20T00:50:53Z</dcterms:created>
  <dcterms:modified xsi:type="dcterms:W3CDTF">2020-12-17T10:26:08Z</dcterms:modified>
</cp:coreProperties>
</file>